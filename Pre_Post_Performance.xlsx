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ja_2\Documents\PhD\myPublication material\Digiblend\Journal paper\Humanities and Social Sciences COmmunications\code\"/>
    </mc:Choice>
  </mc:AlternateContent>
  <bookViews>
    <workbookView xWindow="0" yWindow="0" windowWidth="36945" windowHeight="15015" activeTab="2"/>
  </bookViews>
  <sheets>
    <sheet name="Demographic data" sheetId="4" r:id="rId1"/>
    <sheet name="Participant Scores" sheetId="1" r:id="rId2"/>
    <sheet name="Statistics per level" sheetId="3" r:id="rId3"/>
    <sheet name="Summary Statistics" sheetId="2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E3" i="2" l="1"/>
  <c r="E4" i="2"/>
  <c r="E2" i="2"/>
  <c r="D3" i="2"/>
  <c r="D4" i="2"/>
  <c r="D2" i="2"/>
  <c r="F47" i="1"/>
  <c r="D47" i="1"/>
  <c r="G47" i="1"/>
  <c r="E47" i="1"/>
  <c r="C47" i="1"/>
  <c r="B47" i="1"/>
  <c r="L48" i="4"/>
  <c r="I48" i="4"/>
  <c r="J48" i="4"/>
  <c r="K48" i="4"/>
  <c r="F48" i="4"/>
  <c r="G48" i="4"/>
  <c r="H48" i="4"/>
  <c r="C48" i="4"/>
  <c r="D48" i="4"/>
  <c r="E48" i="4"/>
  <c r="B48" i="4"/>
</calcChain>
</file>

<file path=xl/sharedStrings.xml><?xml version="1.0" encoding="utf-8"?>
<sst xmlns="http://schemas.openxmlformats.org/spreadsheetml/2006/main" count="311" uniqueCount="34">
  <si>
    <t>Participant</t>
  </si>
  <si>
    <t>Level 1</t>
  </si>
  <si>
    <t>Level 2</t>
  </si>
  <si>
    <t>Level 3</t>
  </si>
  <si>
    <t>Level 4</t>
  </si>
  <si>
    <t>Improvement</t>
  </si>
  <si>
    <t>Info &amp; Data Literacy</t>
  </si>
  <si>
    <t>Safety</t>
  </si>
  <si>
    <t>Problem Solving</t>
  </si>
  <si>
    <t>Safety (Infinity)</t>
  </si>
  <si>
    <t>Safety (DiGiUP)</t>
  </si>
  <si>
    <t>Problem Solving (Infinity)</t>
  </si>
  <si>
    <t>Problem Solving (DiGiUP)</t>
  </si>
  <si>
    <t>Mean (Infinity)</t>
  </si>
  <si>
    <t>Mean (DiGiUP)</t>
  </si>
  <si>
    <t>Info &amp; Data Literacy (Infinity)</t>
  </si>
  <si>
    <t>Info &amp; Data Literacy (DiGiUP)</t>
  </si>
  <si>
    <t>Age group</t>
  </si>
  <si>
    <t>Education level</t>
  </si>
  <si>
    <t>Prior device use</t>
  </si>
  <si>
    <t>65-69</t>
  </si>
  <si>
    <t>70-74</t>
  </si>
  <si>
    <t>75-79</t>
  </si>
  <si>
    <t>80+</t>
  </si>
  <si>
    <t>Primary</t>
  </si>
  <si>
    <t>Secondary</t>
  </si>
  <si>
    <t>Higher</t>
  </si>
  <si>
    <t>Regular smartphone</t>
  </si>
  <si>
    <t>Occasional smartphone</t>
  </si>
  <si>
    <t>No smartphone</t>
  </si>
  <si>
    <t>Regular tablet/computer</t>
  </si>
  <si>
    <t>Total:</t>
  </si>
  <si>
    <t>Mean</t>
  </si>
  <si>
    <t>Improvement%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</si>
</sst>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Fill="1" applyBorder="1"/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 &amp; Data Literacy Distribution (INFINITY vs. DiGiUP)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'Statistics per level'!$B$1</c:f>
              <c:strCache>
                <c:ptCount val="1"/>
                <c:pt idx="0">
                  <c:v>Info &amp; Data Literacy (Infinity)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level'!$B$2:$B$5</c:f>
              <c:numCache>
                <c:formatCode>General</c:formatCode>
                <c:ptCount val="4"/>
                <c:pt idx="0">
                  <c:v>28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2-4F24-84A0-8A6568DDE7AD}"/>
            </c:ext>
          </c:extLst>
        </c:ser>
        <c:ser>
          <c:idx val="1"/>
          <c:order val="1"/>
          <c:tx>
            <c:strRef>
              <c:f>'Statistics per level'!$C$1</c:f>
              <c:strCache>
                <c:ptCount val="1"/>
                <c:pt idx="0">
                  <c:v>Info &amp; Data Literacy (DiGiUP)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level'!$C$2:$C$5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2-4F24-84A0-8A6568DD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477856"/>
        <c:axId val="348478688"/>
      </c:lineChart>
      <c:catAx>
        <c:axId val="3484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78688"/>
        <c:crosses val="autoZero"/>
        <c:auto val="1"/>
        <c:lblAlgn val="ctr"/>
        <c:lblOffset val="100"/>
        <c:noMultiLvlLbl val="0"/>
      </c:catAx>
      <c:valAx>
        <c:axId val="3484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Safety  Distribution (INFINITY vs. DiGiUP)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'Statistics per level'!$D$1</c:f>
              <c:strCache>
                <c:ptCount val="1"/>
                <c:pt idx="0">
                  <c:v>Safety (Infinity)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level'!$D$2:$D$5</c:f>
              <c:numCache>
                <c:formatCode>General</c:formatCode>
                <c:ptCount val="4"/>
                <c:pt idx="0">
                  <c:v>19</c:v>
                </c:pt>
                <c:pt idx="1">
                  <c:v>19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F-421C-8E6D-4E6F225C73C5}"/>
            </c:ext>
          </c:extLst>
        </c:ser>
        <c:ser>
          <c:idx val="1"/>
          <c:order val="1"/>
          <c:tx>
            <c:strRef>
              <c:f>'Statistics per level'!$E$1</c:f>
              <c:strCache>
                <c:ptCount val="1"/>
                <c:pt idx="0">
                  <c:v>Safety (DiGiUP)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level'!$E$2:$E$5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23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F-421C-8E6D-4E6F225C7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69104"/>
        <c:axId val="439662448"/>
      </c:lineChart>
      <c:catAx>
        <c:axId val="43966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62448"/>
        <c:crosses val="autoZero"/>
        <c:auto val="1"/>
        <c:lblAlgn val="ctr"/>
        <c:lblOffset val="100"/>
        <c:noMultiLvlLbl val="0"/>
      </c:catAx>
      <c:valAx>
        <c:axId val="439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Problem Solving  Distribution (INFINITY vs. DiGiUP)</a:t>
            </a:r>
            <a:endParaRPr lang="en-US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'Statistics per level'!$F$1</c:f>
              <c:strCache>
                <c:ptCount val="1"/>
                <c:pt idx="0">
                  <c:v>Problem Solving (Infinity)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level'!$F$2:$F$5</c:f>
              <c:numCache>
                <c:formatCode>General</c:formatCode>
                <c:ptCount val="4"/>
                <c:pt idx="0">
                  <c:v>29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B-4D2B-855E-1725AA61F9DF}"/>
            </c:ext>
          </c:extLst>
        </c:ser>
        <c:ser>
          <c:idx val="1"/>
          <c:order val="1"/>
          <c:tx>
            <c:strRef>
              <c:f>'Statistics per level'!$G$1</c:f>
              <c:strCache>
                <c:ptCount val="1"/>
                <c:pt idx="0">
                  <c:v>Problem Solving (DiGiUP)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level'!$G$2:$G$5</c:f>
              <c:numCache>
                <c:formatCode>General</c:formatCode>
                <c:ptCount val="4"/>
                <c:pt idx="0">
                  <c:v>5</c:v>
                </c:pt>
                <c:pt idx="1">
                  <c:v>23</c:v>
                </c:pt>
                <c:pt idx="2">
                  <c:v>16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B-4D2B-855E-1725AA61F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68688"/>
        <c:axId val="439662864"/>
      </c:lineChart>
      <c:catAx>
        <c:axId val="43966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62864"/>
        <c:crosses val="autoZero"/>
        <c:auto val="1"/>
        <c:lblAlgn val="ctr"/>
        <c:lblOffset val="100"/>
        <c:noMultiLvlLbl val="0"/>
      </c:catAx>
      <c:valAx>
        <c:axId val="4396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6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Pre/Post Proficiency Level Distribution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'Statistics per level'!$B$1</c:f>
              <c:strCache>
                <c:ptCount val="1"/>
                <c:pt idx="0">
                  <c:v>Info &amp; Data Literacy (Infinity)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level'!$B$2:$B$5</c:f>
              <c:numCache>
                <c:formatCode>General</c:formatCode>
                <c:ptCount val="4"/>
                <c:pt idx="0">
                  <c:v>28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A-45F9-ADEA-8E570F97B926}"/>
            </c:ext>
          </c:extLst>
        </c:ser>
        <c:ser>
          <c:idx val="1"/>
          <c:order val="1"/>
          <c:tx>
            <c:strRef>
              <c:f>'Statistics per level'!$C$1</c:f>
              <c:strCache>
                <c:ptCount val="1"/>
                <c:pt idx="0">
                  <c:v>Info &amp; Data Literacy (DiGiUP)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level'!$C$2:$C$5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A-45F9-ADEA-8E570F97B926}"/>
            </c:ext>
          </c:extLst>
        </c:ser>
        <c:ser>
          <c:idx val="2"/>
          <c:order val="2"/>
          <c:tx>
            <c:strRef>
              <c:f>'Statistics per level'!$D$1</c:f>
              <c:strCache>
                <c:ptCount val="1"/>
                <c:pt idx="0">
                  <c:v>Safety (Infinity)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level'!$D$2:$D$5</c:f>
              <c:numCache>
                <c:formatCode>General</c:formatCode>
                <c:ptCount val="4"/>
                <c:pt idx="0">
                  <c:v>19</c:v>
                </c:pt>
                <c:pt idx="1">
                  <c:v>19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A-45F9-ADEA-8E570F97B926}"/>
            </c:ext>
          </c:extLst>
        </c:ser>
        <c:ser>
          <c:idx val="3"/>
          <c:order val="3"/>
          <c:tx>
            <c:strRef>
              <c:f>'Statistics per level'!$E$1</c:f>
              <c:strCache>
                <c:ptCount val="1"/>
                <c:pt idx="0">
                  <c:v>Safety (DiGiUP)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level'!$E$2:$E$5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A-45F9-ADEA-8E570F97B926}"/>
            </c:ext>
          </c:extLst>
        </c:ser>
        <c:ser>
          <c:idx val="4"/>
          <c:order val="4"/>
          <c:tx>
            <c:strRef>
              <c:f>'Statistics per level'!$F$1</c:f>
              <c:strCache>
                <c:ptCount val="1"/>
                <c:pt idx="0">
                  <c:v>Problem Solving (Infinity)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level'!$F$2:$F$5</c:f>
              <c:numCache>
                <c:formatCode>General</c:formatCode>
                <c:ptCount val="4"/>
                <c:pt idx="0">
                  <c:v>29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5A-45F9-ADEA-8E570F97B926}"/>
            </c:ext>
          </c:extLst>
        </c:ser>
        <c:ser>
          <c:idx val="5"/>
          <c:order val="5"/>
          <c:tx>
            <c:strRef>
              <c:f>'Statistics per level'!$G$1</c:f>
              <c:strCache>
                <c:ptCount val="1"/>
                <c:pt idx="0">
                  <c:v>Problem Solving (DiGiUP)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'Statistics per level'!$A$2:$A$5</c:f>
              <c:strCache>
                <c:ptCount val="4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</c:strCache>
            </c:strRef>
          </c:cat>
          <c:val>
            <c:numRef>
              <c:f>'Statistics per level'!$G$2:$G$5</c:f>
              <c:numCache>
                <c:formatCode>General</c:formatCode>
                <c:ptCount val="4"/>
                <c:pt idx="0">
                  <c:v>5</c:v>
                </c:pt>
                <c:pt idx="1">
                  <c:v>23</c:v>
                </c:pt>
                <c:pt idx="2">
                  <c:v>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5A-45F9-ADEA-8E570F97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395183"/>
        <c:axId val="1404056127"/>
      </c:barChart>
      <c:catAx>
        <c:axId val="146439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Proficiency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56127"/>
        <c:crosses val="autoZero"/>
        <c:auto val="1"/>
        <c:lblAlgn val="ctr"/>
        <c:lblOffset val="100"/>
        <c:noMultiLvlLbl val="0"/>
      </c:catAx>
      <c:valAx>
        <c:axId val="14040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INFINITY/DiGiUP game performance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Statistics'!$B$1</c:f>
              <c:strCache>
                <c:ptCount val="1"/>
                <c:pt idx="0">
                  <c:v>Mean (Infinity)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Statistics'!$A$2:$A$4</c:f>
              <c:strCache>
                <c:ptCount val="3"/>
                <c:pt idx="0">
                  <c:v>Info &amp; Data Literacy</c:v>
                </c:pt>
                <c:pt idx="1">
                  <c:v>Safety</c:v>
                </c:pt>
                <c:pt idx="2">
                  <c:v>Problem Solving</c:v>
                </c:pt>
              </c:strCache>
            </c:strRef>
          </c:cat>
          <c:val>
            <c:numRef>
              <c:f>'Summary Statistics'!$B$2:$B$4</c:f>
              <c:numCache>
                <c:formatCode>General</c:formatCode>
                <c:ptCount val="3"/>
                <c:pt idx="0">
                  <c:v>1.444444444444444</c:v>
                </c:pt>
                <c:pt idx="1">
                  <c:v>1.7333333333333329</c:v>
                </c:pt>
                <c:pt idx="2">
                  <c:v>1.5111111111111111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C-4FA8-9E10-CFC9B584EAF7}"/>
            </c:ext>
          </c:extLst>
        </c:ser>
        <c:ser>
          <c:idx val="1"/>
          <c:order val="1"/>
          <c:tx>
            <c:strRef>
              <c:f>'Summary Statistics'!$C$1</c:f>
              <c:strCache>
                <c:ptCount val="1"/>
                <c:pt idx="0">
                  <c:v>Mean (DiGiUP)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Statistics'!$A$2:$A$4</c:f>
              <c:strCache>
                <c:ptCount val="3"/>
                <c:pt idx="0">
                  <c:v>Info &amp; Data Literacy</c:v>
                </c:pt>
                <c:pt idx="1">
                  <c:v>Safety</c:v>
                </c:pt>
                <c:pt idx="2">
                  <c:v>Problem Solving</c:v>
                </c:pt>
              </c:strCache>
            </c:strRef>
          </c:cat>
          <c:val>
            <c:numRef>
              <c:f>'Summary Statistics'!$C$2:$C$4</c:f>
              <c:numCache>
                <c:formatCode>General</c:formatCode>
                <c:ptCount val="3"/>
                <c:pt idx="0">
                  <c:v>2.4</c:v>
                </c:pt>
                <c:pt idx="1">
                  <c:v>2.4666666666666601</c:v>
                </c:pt>
                <c:pt idx="2">
                  <c:v>2.2888888888888999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C-4FA8-9E10-CFC9B584EAF7}"/>
            </c:ext>
          </c:extLst>
        </c:ser>
        <c:ser>
          <c:idx val="2"/>
          <c:order val="2"/>
          <c:tx>
            <c:strRef>
              <c:f>'Summary Statistics'!$D$1</c:f>
              <c:strCache>
                <c:ptCount val="1"/>
                <c:pt idx="0">
                  <c:v>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Statistics'!$A$2:$A$4</c:f>
              <c:strCache>
                <c:ptCount val="3"/>
                <c:pt idx="0">
                  <c:v>Info &amp; Data Literacy</c:v>
                </c:pt>
                <c:pt idx="1">
                  <c:v>Safety</c:v>
                </c:pt>
                <c:pt idx="2">
                  <c:v>Problem Solving</c:v>
                </c:pt>
              </c:strCache>
            </c:strRef>
          </c:cat>
          <c:val>
            <c:numRef>
              <c:f>'Summary Statistics'!$D$2:$D$4</c:f>
              <c:numCache>
                <c:formatCode>General</c:formatCode>
                <c:ptCount val="3"/>
                <c:pt idx="0">
                  <c:v>0.95555555555555594</c:v>
                </c:pt>
                <c:pt idx="1">
                  <c:v>0.73333333333332718</c:v>
                </c:pt>
                <c:pt idx="2">
                  <c:v>0.77777777777778878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C-4FA8-9E10-CFC9B584E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201440"/>
        <c:axId val="444201024"/>
      </c:barChart>
      <c:catAx>
        <c:axId val="44420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01024"/>
        <c:crosses val="autoZero"/>
        <c:auto val="1"/>
        <c:lblAlgn val="ctr"/>
        <c:lblOffset val="100"/>
        <c:noMultiLvlLbl val="0"/>
      </c:catAx>
      <c:valAx>
        <c:axId val="4442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0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'Summary Statistics'!$B$1</c:f>
              <c:strCache>
                <c:ptCount val="1"/>
                <c:pt idx="0">
                  <c:v>Mean (Infinity)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Statistics'!$A$2:$A$4</c:f>
              <c:strCache>
                <c:ptCount val="3"/>
                <c:pt idx="0">
                  <c:v>Info &amp; Data Literacy</c:v>
                </c:pt>
                <c:pt idx="1">
                  <c:v>Safety</c:v>
                </c:pt>
                <c:pt idx="2">
                  <c:v>Problem Solving</c:v>
                </c:pt>
              </c:strCache>
            </c:strRef>
          </c:cat>
          <c:val>
            <c:numRef>
              <c:f>'Summary Statistics'!$B$2:$B$4</c:f>
              <c:numCache>
                <c:formatCode>General</c:formatCode>
                <c:ptCount val="3"/>
                <c:pt idx="0">
                  <c:v>1.444444444444444</c:v>
                </c:pt>
                <c:pt idx="1">
                  <c:v>1.7333333333333329</c:v>
                </c:pt>
                <c:pt idx="2">
                  <c:v>1.5111111111111111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7-4958-A08B-365740784C2D}"/>
            </c:ext>
          </c:extLst>
        </c:ser>
        <c:ser>
          <c:idx val="1"/>
          <c:order val="1"/>
          <c:tx>
            <c:strRef>
              <c:f>'Summary Statistics'!$C$1</c:f>
              <c:strCache>
                <c:ptCount val="1"/>
                <c:pt idx="0">
                  <c:v>Mean (DiGiUP)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Statistics'!$A$2:$A$4</c:f>
              <c:strCache>
                <c:ptCount val="3"/>
                <c:pt idx="0">
                  <c:v>Info &amp; Data Literacy</c:v>
                </c:pt>
                <c:pt idx="1">
                  <c:v>Safety</c:v>
                </c:pt>
                <c:pt idx="2">
                  <c:v>Problem Solving</c:v>
                </c:pt>
              </c:strCache>
            </c:strRef>
          </c:cat>
          <c:val>
            <c:numRef>
              <c:f>'Summary Statistics'!$C$2:$C$4</c:f>
              <c:numCache>
                <c:formatCode>General</c:formatCode>
                <c:ptCount val="3"/>
                <c:pt idx="0">
                  <c:v>2.4</c:v>
                </c:pt>
                <c:pt idx="1">
                  <c:v>2.4666666666666601</c:v>
                </c:pt>
                <c:pt idx="2">
                  <c:v>2.2888888888888999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7-4958-A08B-36574078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837503"/>
        <c:axId val="600837087"/>
      </c:lineChart>
      <c:catAx>
        <c:axId val="60083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Competence Area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37087"/>
        <c:crosses val="autoZero"/>
        <c:auto val="1"/>
        <c:lblAlgn val="ctr"/>
        <c:lblOffset val="100"/>
        <c:noMultiLvlLbl val="0"/>
      </c:catAx>
      <c:valAx>
        <c:axId val="6008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Proficiency</a:t>
                </a:r>
                <a:r>
                  <a:rPr lang="en-US" baseline="0"/>
                  <a:t> Level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8</xdr:row>
      <xdr:rowOff>61912</xdr:rowOff>
    </xdr:from>
    <xdr:to>
      <xdr:col>4</xdr:col>
      <xdr:colOff>466725</xdr:colOff>
      <xdr:row>22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8</xdr:row>
      <xdr:rowOff>61912</xdr:rowOff>
    </xdr:from>
    <xdr:to>
      <xdr:col>9</xdr:col>
      <xdr:colOff>209550</xdr:colOff>
      <xdr:row>22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8</xdr:row>
      <xdr:rowOff>61912</xdr:rowOff>
    </xdr:from>
    <xdr:to>
      <xdr:col>16</xdr:col>
      <xdr:colOff>533400</xdr:colOff>
      <xdr:row>22</xdr:row>
      <xdr:rowOff>138112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476250</xdr:colOff>
      <xdr:row>24</xdr:row>
      <xdr:rowOff>90486</xdr:rowOff>
    </xdr:from>
    <xdr:to>
      <xdr:col>5</xdr:col>
      <xdr:colOff>1038225</xdr:colOff>
      <xdr:row>45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5</xdr:row>
      <xdr:rowOff>157162</xdr:rowOff>
    </xdr:from>
    <xdr:to>
      <xdr:col>5</xdr:col>
      <xdr:colOff>433387</xdr:colOff>
      <xdr:row>20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261937</xdr:colOff>
      <xdr:row>5</xdr:row>
      <xdr:rowOff>61912</xdr:rowOff>
    </xdr:from>
    <xdr:to>
      <xdr:col>13</xdr:col>
      <xdr:colOff>566737</xdr:colOff>
      <xdr:row>19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nja_2/Documents/PhD/myPublication%20material/Digiblend/e-Society%20Journal/DiGiUP_Pre_Post_Chart_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vel Distribution"/>
      <sheetName val="Mean Proficiency"/>
    </sheetNames>
    <sheetDataSet>
      <sheetData sheetId="0">
        <row r="2">
          <cell r="A2" t="str">
            <v>Level 1</v>
          </cell>
          <cell r="B2">
            <v>28</v>
          </cell>
          <cell r="C2">
            <v>7</v>
          </cell>
          <cell r="D2">
            <v>19</v>
          </cell>
          <cell r="E2">
            <v>6</v>
          </cell>
          <cell r="F2">
            <v>29</v>
          </cell>
          <cell r="G2">
            <v>5</v>
          </cell>
        </row>
        <row r="3">
          <cell r="A3" t="str">
            <v>Level 2</v>
          </cell>
          <cell r="B3">
            <v>14</v>
          </cell>
          <cell r="C3">
            <v>16</v>
          </cell>
          <cell r="D3">
            <v>19</v>
          </cell>
          <cell r="E3">
            <v>14</v>
          </cell>
          <cell r="F3">
            <v>9</v>
          </cell>
          <cell r="G3">
            <v>23</v>
          </cell>
        </row>
        <row r="4">
          <cell r="A4" t="str">
            <v>Level 3</v>
          </cell>
          <cell r="B4">
            <v>3</v>
          </cell>
          <cell r="C4">
            <v>16</v>
          </cell>
          <cell r="D4">
            <v>7</v>
          </cell>
          <cell r="E4">
            <v>16</v>
          </cell>
          <cell r="F4">
            <v>7</v>
          </cell>
          <cell r="G4">
            <v>10</v>
          </cell>
        </row>
        <row r="5">
          <cell r="A5" t="str">
            <v>Level 4</v>
          </cell>
          <cell r="B5">
            <v>0</v>
          </cell>
          <cell r="C5">
            <v>6</v>
          </cell>
          <cell r="D5">
            <v>0</v>
          </cell>
          <cell r="E5">
            <v>9</v>
          </cell>
          <cell r="F5">
            <v>0</v>
          </cell>
          <cell r="G5">
            <v>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opLeftCell="A14" workbookViewId="0">
      <selection sqref="A1:L49"/>
    </sheetView>
  </sheetViews>
  <sheetFormatPr defaultRowHeight="15" x14ac:dyDescent="0.25"/>
  <cols>
    <col min="1" max="1" width="10.5703125" bestFit="1" customWidth="1"/>
    <col min="7" max="7" width="10.140625" bestFit="1" customWidth="1"/>
    <col min="8" max="8" width="6.85546875" bestFit="1" customWidth="1"/>
    <col min="9" max="9" width="19.140625" bestFit="1" customWidth="1"/>
    <col min="10" max="10" width="22" bestFit="1" customWidth="1"/>
    <col min="11" max="11" width="14.85546875" bestFit="1" customWidth="1"/>
    <col min="12" max="12" width="23.28515625" bestFit="1" customWidth="1"/>
  </cols>
  <sheetData>
    <row r="1" spans="1:12" ht="15.75" thickBot="1" x14ac:dyDescent="0.3">
      <c r="A1" s="4" t="s">
        <v>0</v>
      </c>
      <c r="B1" s="9" t="s">
        <v>17</v>
      </c>
      <c r="C1" s="9"/>
      <c r="D1" s="9"/>
      <c r="E1" s="10"/>
      <c r="F1" s="11" t="s">
        <v>18</v>
      </c>
      <c r="G1" s="9"/>
      <c r="H1" s="10"/>
      <c r="I1" s="11" t="s">
        <v>19</v>
      </c>
      <c r="J1" s="9"/>
      <c r="K1" s="9"/>
      <c r="L1" s="10"/>
    </row>
    <row r="2" spans="1:12" ht="15.75" thickBot="1" x14ac:dyDescent="0.3">
      <c r="A2" s="5"/>
      <c r="B2" s="6" t="s">
        <v>20</v>
      </c>
      <c r="C2" s="7" t="s">
        <v>21</v>
      </c>
      <c r="D2" s="7" t="s">
        <v>22</v>
      </c>
      <c r="E2" s="8" t="s">
        <v>23</v>
      </c>
      <c r="F2" s="6" t="s">
        <v>24</v>
      </c>
      <c r="G2" s="7" t="s">
        <v>25</v>
      </c>
      <c r="H2" s="8" t="s">
        <v>26</v>
      </c>
      <c r="I2" s="6" t="s">
        <v>27</v>
      </c>
      <c r="J2" s="7" t="s">
        <v>28</v>
      </c>
      <c r="K2" s="7" t="s">
        <v>29</v>
      </c>
      <c r="L2" s="8" t="s">
        <v>30</v>
      </c>
    </row>
    <row r="3" spans="1:12" x14ac:dyDescent="0.25">
      <c r="A3" s="12">
        <v>1</v>
      </c>
      <c r="B3" s="15"/>
      <c r="C3" s="16"/>
      <c r="D3" s="16">
        <v>1</v>
      </c>
      <c r="E3" s="17"/>
      <c r="F3" s="15"/>
      <c r="G3" s="16"/>
      <c r="H3" s="17">
        <v>1</v>
      </c>
      <c r="I3" s="15">
        <v>1</v>
      </c>
      <c r="J3" s="16"/>
      <c r="K3" s="16"/>
      <c r="L3" s="17">
        <v>1</v>
      </c>
    </row>
    <row r="4" spans="1:12" x14ac:dyDescent="0.25">
      <c r="A4" s="13">
        <v>2</v>
      </c>
      <c r="B4" s="18"/>
      <c r="C4" s="19">
        <v>1</v>
      </c>
      <c r="D4" s="19"/>
      <c r="E4" s="20"/>
      <c r="F4" s="18"/>
      <c r="G4" s="19">
        <v>1</v>
      </c>
      <c r="H4" s="20"/>
      <c r="I4" s="18">
        <v>1</v>
      </c>
      <c r="J4" s="19"/>
      <c r="K4" s="19"/>
      <c r="L4" s="20">
        <v>1</v>
      </c>
    </row>
    <row r="5" spans="1:12" x14ac:dyDescent="0.25">
      <c r="A5" s="13">
        <v>3</v>
      </c>
      <c r="B5" s="18"/>
      <c r="C5" s="19"/>
      <c r="D5" s="19"/>
      <c r="E5" s="20">
        <v>1</v>
      </c>
      <c r="F5" s="18"/>
      <c r="G5" s="19"/>
      <c r="H5" s="20">
        <v>1</v>
      </c>
      <c r="I5" s="18">
        <v>1</v>
      </c>
      <c r="J5" s="19"/>
      <c r="K5" s="19"/>
      <c r="L5" s="20"/>
    </row>
    <row r="6" spans="1:12" x14ac:dyDescent="0.25">
      <c r="A6" s="13">
        <v>4</v>
      </c>
      <c r="B6" s="18"/>
      <c r="C6" s="19">
        <v>1</v>
      </c>
      <c r="D6" s="19"/>
      <c r="E6" s="20"/>
      <c r="F6" s="18"/>
      <c r="G6" s="19"/>
      <c r="H6" s="20">
        <v>1</v>
      </c>
      <c r="I6" s="18"/>
      <c r="J6" s="19">
        <v>1</v>
      </c>
      <c r="K6" s="19"/>
      <c r="L6" s="20">
        <v>1</v>
      </c>
    </row>
    <row r="7" spans="1:12" x14ac:dyDescent="0.25">
      <c r="A7" s="13">
        <v>5</v>
      </c>
      <c r="B7" s="18"/>
      <c r="C7" s="19">
        <v>1</v>
      </c>
      <c r="D7" s="19"/>
      <c r="E7" s="20"/>
      <c r="F7" s="18"/>
      <c r="G7" s="19"/>
      <c r="H7" s="20">
        <v>1</v>
      </c>
      <c r="I7" s="18"/>
      <c r="J7" s="19"/>
      <c r="K7" s="19">
        <v>1</v>
      </c>
      <c r="L7" s="20"/>
    </row>
    <row r="8" spans="1:12" x14ac:dyDescent="0.25">
      <c r="A8" s="13">
        <v>6</v>
      </c>
      <c r="B8" s="18">
        <v>1</v>
      </c>
      <c r="C8" s="19"/>
      <c r="D8" s="19"/>
      <c r="E8" s="20"/>
      <c r="F8" s="18"/>
      <c r="G8" s="19"/>
      <c r="H8" s="20">
        <v>1</v>
      </c>
      <c r="I8" s="18"/>
      <c r="J8" s="19">
        <v>1</v>
      </c>
      <c r="K8" s="19"/>
      <c r="L8" s="20"/>
    </row>
    <row r="9" spans="1:12" x14ac:dyDescent="0.25">
      <c r="A9" s="13">
        <v>7</v>
      </c>
      <c r="B9" s="18"/>
      <c r="C9" s="19"/>
      <c r="D9" s="19">
        <v>1</v>
      </c>
      <c r="E9" s="20"/>
      <c r="F9" s="18"/>
      <c r="G9" s="19">
        <v>1</v>
      </c>
      <c r="H9" s="20"/>
      <c r="I9" s="18"/>
      <c r="J9" s="19"/>
      <c r="K9" s="19">
        <v>1</v>
      </c>
      <c r="L9" s="20"/>
    </row>
    <row r="10" spans="1:12" x14ac:dyDescent="0.25">
      <c r="A10" s="13">
        <v>8</v>
      </c>
      <c r="B10" s="18"/>
      <c r="C10" s="19"/>
      <c r="D10" s="19"/>
      <c r="E10" s="20">
        <v>1</v>
      </c>
      <c r="F10" s="18">
        <v>1</v>
      </c>
      <c r="G10" s="19"/>
      <c r="H10" s="20"/>
      <c r="I10" s="18">
        <v>1</v>
      </c>
      <c r="J10" s="19"/>
      <c r="K10" s="19"/>
      <c r="L10" s="20">
        <v>1</v>
      </c>
    </row>
    <row r="11" spans="1:12" x14ac:dyDescent="0.25">
      <c r="A11" s="13">
        <v>9</v>
      </c>
      <c r="B11" s="18"/>
      <c r="C11" s="19">
        <v>1</v>
      </c>
      <c r="D11" s="19"/>
      <c r="E11" s="20"/>
      <c r="F11" s="18"/>
      <c r="G11" s="19"/>
      <c r="H11" s="20">
        <v>1</v>
      </c>
      <c r="I11" s="18"/>
      <c r="J11" s="19">
        <v>1</v>
      </c>
      <c r="K11" s="19"/>
      <c r="L11" s="20"/>
    </row>
    <row r="12" spans="1:12" x14ac:dyDescent="0.25">
      <c r="A12" s="13">
        <v>10</v>
      </c>
      <c r="B12" s="18"/>
      <c r="C12" s="19">
        <v>1</v>
      </c>
      <c r="D12" s="19"/>
      <c r="E12" s="20"/>
      <c r="F12" s="18"/>
      <c r="G12" s="19">
        <v>1</v>
      </c>
      <c r="H12" s="20"/>
      <c r="I12" s="18"/>
      <c r="J12" s="19"/>
      <c r="K12" s="19">
        <v>1</v>
      </c>
      <c r="L12" s="20"/>
    </row>
    <row r="13" spans="1:12" x14ac:dyDescent="0.25">
      <c r="A13" s="13">
        <v>11</v>
      </c>
      <c r="B13" s="18"/>
      <c r="C13" s="19"/>
      <c r="D13" s="19">
        <v>1</v>
      </c>
      <c r="E13" s="20"/>
      <c r="F13" s="18">
        <v>1</v>
      </c>
      <c r="G13" s="19"/>
      <c r="H13" s="20"/>
      <c r="I13" s="18"/>
      <c r="J13" s="19">
        <v>1</v>
      </c>
      <c r="K13" s="19"/>
      <c r="L13" s="20"/>
    </row>
    <row r="14" spans="1:12" x14ac:dyDescent="0.25">
      <c r="A14" s="13">
        <v>12</v>
      </c>
      <c r="B14" s="18">
        <v>1</v>
      </c>
      <c r="C14" s="19"/>
      <c r="D14" s="19"/>
      <c r="E14" s="20"/>
      <c r="F14" s="18"/>
      <c r="G14" s="19"/>
      <c r="H14" s="20">
        <v>1</v>
      </c>
      <c r="I14" s="18">
        <v>1</v>
      </c>
      <c r="J14" s="19"/>
      <c r="K14" s="19"/>
      <c r="L14" s="20"/>
    </row>
    <row r="15" spans="1:12" x14ac:dyDescent="0.25">
      <c r="A15" s="13">
        <v>13</v>
      </c>
      <c r="B15" s="18"/>
      <c r="C15" s="19">
        <v>1</v>
      </c>
      <c r="D15" s="19"/>
      <c r="E15" s="20"/>
      <c r="F15" s="18"/>
      <c r="G15" s="19"/>
      <c r="H15" s="20">
        <v>1</v>
      </c>
      <c r="I15" s="18">
        <v>1</v>
      </c>
      <c r="J15" s="19"/>
      <c r="K15" s="19"/>
      <c r="L15" s="20">
        <v>1</v>
      </c>
    </row>
    <row r="16" spans="1:12" x14ac:dyDescent="0.25">
      <c r="A16" s="13">
        <v>14</v>
      </c>
      <c r="B16" s="18"/>
      <c r="C16" s="19"/>
      <c r="D16" s="19"/>
      <c r="E16" s="20">
        <v>1</v>
      </c>
      <c r="F16" s="18"/>
      <c r="G16" s="19">
        <v>1</v>
      </c>
      <c r="H16" s="20"/>
      <c r="I16" s="18"/>
      <c r="J16" s="19"/>
      <c r="K16" s="19">
        <v>1</v>
      </c>
      <c r="L16" s="20"/>
    </row>
    <row r="17" spans="1:12" x14ac:dyDescent="0.25">
      <c r="A17" s="13">
        <v>15</v>
      </c>
      <c r="B17" s="18">
        <v>1</v>
      </c>
      <c r="C17" s="19"/>
      <c r="D17" s="19"/>
      <c r="E17" s="20"/>
      <c r="F17" s="18"/>
      <c r="G17" s="19"/>
      <c r="H17" s="20">
        <v>1</v>
      </c>
      <c r="I17" s="18"/>
      <c r="J17" s="19">
        <v>1</v>
      </c>
      <c r="K17" s="19"/>
      <c r="L17" s="20"/>
    </row>
    <row r="18" spans="1:12" x14ac:dyDescent="0.25">
      <c r="A18" s="13">
        <v>16</v>
      </c>
      <c r="B18" s="18"/>
      <c r="C18" s="19">
        <v>1</v>
      </c>
      <c r="D18" s="19"/>
      <c r="E18" s="20"/>
      <c r="F18" s="18"/>
      <c r="G18" s="19"/>
      <c r="H18" s="20">
        <v>1</v>
      </c>
      <c r="I18" s="18"/>
      <c r="J18" s="19">
        <v>1</v>
      </c>
      <c r="K18" s="19"/>
      <c r="L18" s="20"/>
    </row>
    <row r="19" spans="1:12" x14ac:dyDescent="0.25">
      <c r="A19" s="13">
        <v>17</v>
      </c>
      <c r="B19" s="18">
        <v>1</v>
      </c>
      <c r="C19" s="19"/>
      <c r="D19" s="19"/>
      <c r="E19" s="20"/>
      <c r="F19" s="18"/>
      <c r="G19" s="19"/>
      <c r="H19" s="20">
        <v>1</v>
      </c>
      <c r="I19" s="18"/>
      <c r="J19" s="19">
        <v>1</v>
      </c>
      <c r="K19" s="19"/>
      <c r="L19" s="20"/>
    </row>
    <row r="20" spans="1:12" x14ac:dyDescent="0.25">
      <c r="A20" s="13">
        <v>18</v>
      </c>
      <c r="B20" s="18"/>
      <c r="C20" s="19"/>
      <c r="D20" s="19">
        <v>1</v>
      </c>
      <c r="E20" s="20"/>
      <c r="F20" s="18">
        <v>1</v>
      </c>
      <c r="G20" s="19"/>
      <c r="H20" s="20"/>
      <c r="I20" s="18"/>
      <c r="J20" s="19"/>
      <c r="K20" s="19">
        <v>1</v>
      </c>
      <c r="L20" s="20"/>
    </row>
    <row r="21" spans="1:12" x14ac:dyDescent="0.25">
      <c r="A21" s="13">
        <v>19</v>
      </c>
      <c r="B21" s="18"/>
      <c r="C21" s="19">
        <v>1</v>
      </c>
      <c r="D21" s="19"/>
      <c r="E21" s="20"/>
      <c r="F21" s="18"/>
      <c r="G21" s="19"/>
      <c r="H21" s="20">
        <v>1</v>
      </c>
      <c r="I21" s="18"/>
      <c r="J21" s="19"/>
      <c r="K21" s="19">
        <v>1</v>
      </c>
      <c r="L21" s="20"/>
    </row>
    <row r="22" spans="1:12" x14ac:dyDescent="0.25">
      <c r="A22" s="13">
        <v>20</v>
      </c>
      <c r="B22" s="18"/>
      <c r="C22" s="19">
        <v>1</v>
      </c>
      <c r="D22" s="19"/>
      <c r="E22" s="20"/>
      <c r="F22" s="18"/>
      <c r="G22" s="19"/>
      <c r="H22" s="20">
        <v>1</v>
      </c>
      <c r="I22" s="18">
        <v>1</v>
      </c>
      <c r="J22" s="19"/>
      <c r="K22" s="19"/>
      <c r="L22" s="20">
        <v>1</v>
      </c>
    </row>
    <row r="23" spans="1:12" x14ac:dyDescent="0.25">
      <c r="A23" s="13">
        <v>21</v>
      </c>
      <c r="B23" s="18"/>
      <c r="C23" s="19"/>
      <c r="D23" s="19">
        <v>1</v>
      </c>
      <c r="E23" s="20"/>
      <c r="F23" s="18"/>
      <c r="G23" s="19">
        <v>1</v>
      </c>
      <c r="H23" s="20"/>
      <c r="I23" s="18">
        <v>1</v>
      </c>
      <c r="J23" s="19"/>
      <c r="K23" s="19"/>
      <c r="L23" s="20">
        <v>1</v>
      </c>
    </row>
    <row r="24" spans="1:12" x14ac:dyDescent="0.25">
      <c r="A24" s="13">
        <v>22</v>
      </c>
      <c r="B24" s="18">
        <v>1</v>
      </c>
      <c r="C24" s="19"/>
      <c r="D24" s="19"/>
      <c r="E24" s="20"/>
      <c r="F24" s="18"/>
      <c r="G24" s="19"/>
      <c r="H24" s="20">
        <v>1</v>
      </c>
      <c r="I24" s="18">
        <v>1</v>
      </c>
      <c r="J24" s="19"/>
      <c r="K24" s="19"/>
      <c r="L24" s="20">
        <v>1</v>
      </c>
    </row>
    <row r="25" spans="1:12" x14ac:dyDescent="0.25">
      <c r="A25" s="13">
        <v>23</v>
      </c>
      <c r="B25" s="18"/>
      <c r="C25" s="19"/>
      <c r="D25" s="19">
        <v>1</v>
      </c>
      <c r="E25" s="20"/>
      <c r="F25" s="18"/>
      <c r="G25" s="19">
        <v>1</v>
      </c>
      <c r="H25" s="20"/>
      <c r="I25" s="18"/>
      <c r="J25" s="19">
        <v>1</v>
      </c>
      <c r="K25" s="19"/>
      <c r="L25" s="20"/>
    </row>
    <row r="26" spans="1:12" x14ac:dyDescent="0.25">
      <c r="A26" s="13">
        <v>24</v>
      </c>
      <c r="B26" s="18"/>
      <c r="C26" s="19">
        <v>1</v>
      </c>
      <c r="D26" s="19"/>
      <c r="E26" s="20"/>
      <c r="F26" s="18"/>
      <c r="G26" s="19"/>
      <c r="H26" s="20">
        <v>1</v>
      </c>
      <c r="I26" s="18">
        <v>1</v>
      </c>
      <c r="J26" s="19"/>
      <c r="K26" s="19"/>
      <c r="L26" s="20"/>
    </row>
    <row r="27" spans="1:12" x14ac:dyDescent="0.25">
      <c r="A27" s="13">
        <v>25</v>
      </c>
      <c r="B27" s="18"/>
      <c r="C27" s="19"/>
      <c r="D27" s="19"/>
      <c r="E27" s="20">
        <v>1</v>
      </c>
      <c r="F27" s="18">
        <v>1</v>
      </c>
      <c r="G27" s="19"/>
      <c r="H27" s="20"/>
      <c r="I27" s="18"/>
      <c r="J27" s="19"/>
      <c r="K27" s="19">
        <v>1</v>
      </c>
      <c r="L27" s="20"/>
    </row>
    <row r="28" spans="1:12" x14ac:dyDescent="0.25">
      <c r="A28" s="13">
        <v>26</v>
      </c>
      <c r="B28" s="18"/>
      <c r="C28" s="19">
        <v>1</v>
      </c>
      <c r="D28" s="19"/>
      <c r="E28" s="20"/>
      <c r="F28" s="18"/>
      <c r="G28" s="19"/>
      <c r="H28" s="20">
        <v>1</v>
      </c>
      <c r="I28" s="18">
        <v>1</v>
      </c>
      <c r="J28" s="19"/>
      <c r="K28" s="19"/>
      <c r="L28" s="20">
        <v>1</v>
      </c>
    </row>
    <row r="29" spans="1:12" x14ac:dyDescent="0.25">
      <c r="A29" s="13">
        <v>27</v>
      </c>
      <c r="B29" s="18">
        <v>1</v>
      </c>
      <c r="C29" s="19"/>
      <c r="D29" s="19"/>
      <c r="E29" s="20"/>
      <c r="F29" s="18"/>
      <c r="G29" s="19"/>
      <c r="H29" s="20">
        <v>1</v>
      </c>
      <c r="I29" s="18">
        <v>1</v>
      </c>
      <c r="J29" s="19"/>
      <c r="K29" s="19"/>
      <c r="L29" s="20">
        <v>1</v>
      </c>
    </row>
    <row r="30" spans="1:12" x14ac:dyDescent="0.25">
      <c r="A30" s="13">
        <v>28</v>
      </c>
      <c r="B30" s="18"/>
      <c r="C30" s="19"/>
      <c r="D30" s="19">
        <v>1</v>
      </c>
      <c r="E30" s="20"/>
      <c r="F30" s="18"/>
      <c r="G30" s="19">
        <v>1</v>
      </c>
      <c r="H30" s="20"/>
      <c r="I30" s="18">
        <v>1</v>
      </c>
      <c r="J30" s="19"/>
      <c r="K30" s="19"/>
      <c r="L30" s="20"/>
    </row>
    <row r="31" spans="1:12" x14ac:dyDescent="0.25">
      <c r="A31" s="13">
        <v>29</v>
      </c>
      <c r="B31" s="18"/>
      <c r="C31" s="19">
        <v>1</v>
      </c>
      <c r="D31" s="19"/>
      <c r="E31" s="20"/>
      <c r="F31" s="18"/>
      <c r="G31" s="19"/>
      <c r="H31" s="20">
        <v>1</v>
      </c>
      <c r="I31" s="18"/>
      <c r="J31" s="19">
        <v>1</v>
      </c>
      <c r="K31" s="19"/>
      <c r="L31" s="20"/>
    </row>
    <row r="32" spans="1:12" x14ac:dyDescent="0.25">
      <c r="A32" s="13">
        <v>30</v>
      </c>
      <c r="B32" s="18"/>
      <c r="C32" s="19"/>
      <c r="D32" s="19">
        <v>1</v>
      </c>
      <c r="E32" s="20"/>
      <c r="F32" s="18"/>
      <c r="G32" s="19">
        <v>1</v>
      </c>
      <c r="H32" s="20"/>
      <c r="I32" s="18"/>
      <c r="J32" s="19">
        <v>1</v>
      </c>
      <c r="K32" s="19"/>
      <c r="L32" s="20">
        <v>1</v>
      </c>
    </row>
    <row r="33" spans="1:12" x14ac:dyDescent="0.25">
      <c r="A33" s="13">
        <v>31</v>
      </c>
      <c r="B33" s="18">
        <v>1</v>
      </c>
      <c r="C33" s="19"/>
      <c r="D33" s="19"/>
      <c r="E33" s="20"/>
      <c r="F33" s="18"/>
      <c r="G33" s="19"/>
      <c r="H33" s="20">
        <v>1</v>
      </c>
      <c r="I33" s="18"/>
      <c r="J33" s="19"/>
      <c r="K33" s="19">
        <v>1</v>
      </c>
      <c r="L33" s="20"/>
    </row>
    <row r="34" spans="1:12" x14ac:dyDescent="0.25">
      <c r="A34" s="13">
        <v>32</v>
      </c>
      <c r="B34" s="18"/>
      <c r="C34" s="19">
        <v>1</v>
      </c>
      <c r="D34" s="19"/>
      <c r="E34" s="20"/>
      <c r="F34" s="18"/>
      <c r="G34" s="19"/>
      <c r="H34" s="20">
        <v>1</v>
      </c>
      <c r="I34" s="18">
        <v>1</v>
      </c>
      <c r="J34" s="19"/>
      <c r="K34" s="19"/>
      <c r="L34" s="20">
        <v>1</v>
      </c>
    </row>
    <row r="35" spans="1:12" x14ac:dyDescent="0.25">
      <c r="A35" s="13">
        <v>33</v>
      </c>
      <c r="B35" s="18"/>
      <c r="C35" s="19"/>
      <c r="D35" s="19"/>
      <c r="E35" s="20">
        <v>1</v>
      </c>
      <c r="F35" s="18">
        <v>1</v>
      </c>
      <c r="G35" s="19"/>
      <c r="H35" s="20"/>
      <c r="I35" s="18">
        <v>1</v>
      </c>
      <c r="J35" s="19"/>
      <c r="K35" s="19"/>
      <c r="L35" s="20">
        <v>1</v>
      </c>
    </row>
    <row r="36" spans="1:12" x14ac:dyDescent="0.25">
      <c r="A36" s="13">
        <v>34</v>
      </c>
      <c r="B36" s="18"/>
      <c r="C36" s="19"/>
      <c r="D36" s="19">
        <v>1</v>
      </c>
      <c r="E36" s="20"/>
      <c r="F36" s="18"/>
      <c r="G36" s="19"/>
      <c r="H36" s="20">
        <v>1</v>
      </c>
      <c r="I36" s="18">
        <v>1</v>
      </c>
      <c r="J36" s="19"/>
      <c r="K36" s="19"/>
      <c r="L36" s="20">
        <v>1</v>
      </c>
    </row>
    <row r="37" spans="1:12" x14ac:dyDescent="0.25">
      <c r="A37" s="13">
        <v>35</v>
      </c>
      <c r="B37" s="18"/>
      <c r="C37" s="19"/>
      <c r="D37" s="19"/>
      <c r="E37" s="20">
        <v>1</v>
      </c>
      <c r="F37" s="18"/>
      <c r="G37" s="19">
        <v>1</v>
      </c>
      <c r="H37" s="20"/>
      <c r="I37" s="18"/>
      <c r="J37" s="19"/>
      <c r="K37" s="19">
        <v>1</v>
      </c>
      <c r="L37" s="20"/>
    </row>
    <row r="38" spans="1:12" x14ac:dyDescent="0.25">
      <c r="A38" s="13">
        <v>36</v>
      </c>
      <c r="B38" s="18"/>
      <c r="C38" s="19"/>
      <c r="D38" s="19">
        <v>1</v>
      </c>
      <c r="E38" s="20"/>
      <c r="F38" s="18"/>
      <c r="G38" s="19"/>
      <c r="H38" s="20">
        <v>1</v>
      </c>
      <c r="I38" s="18"/>
      <c r="J38" s="19">
        <v>1</v>
      </c>
      <c r="K38" s="19"/>
      <c r="L38" s="20"/>
    </row>
    <row r="39" spans="1:12" x14ac:dyDescent="0.25">
      <c r="A39" s="13">
        <v>37</v>
      </c>
      <c r="B39" s="18"/>
      <c r="C39" s="19"/>
      <c r="D39" s="19"/>
      <c r="E39" s="20">
        <v>1</v>
      </c>
      <c r="F39" s="18"/>
      <c r="G39" s="19">
        <v>1</v>
      </c>
      <c r="H39" s="20"/>
      <c r="I39" s="18"/>
      <c r="J39" s="19">
        <v>1</v>
      </c>
      <c r="K39" s="19"/>
      <c r="L39" s="20">
        <v>1</v>
      </c>
    </row>
    <row r="40" spans="1:12" x14ac:dyDescent="0.25">
      <c r="A40" s="13">
        <v>38</v>
      </c>
      <c r="B40" s="18"/>
      <c r="C40" s="19"/>
      <c r="D40" s="19">
        <v>1</v>
      </c>
      <c r="E40" s="20"/>
      <c r="F40" s="18"/>
      <c r="G40" s="19">
        <v>1</v>
      </c>
      <c r="H40" s="20"/>
      <c r="I40" s="18"/>
      <c r="J40" s="19"/>
      <c r="K40" s="19">
        <v>1</v>
      </c>
      <c r="L40" s="20"/>
    </row>
    <row r="41" spans="1:12" x14ac:dyDescent="0.25">
      <c r="A41" s="13">
        <v>39</v>
      </c>
      <c r="B41" s="18"/>
      <c r="C41" s="19"/>
      <c r="D41" s="19"/>
      <c r="E41" s="20">
        <v>1</v>
      </c>
      <c r="F41" s="18">
        <v>1</v>
      </c>
      <c r="G41" s="19"/>
      <c r="H41" s="20"/>
      <c r="I41" s="18"/>
      <c r="J41" s="19">
        <v>1</v>
      </c>
      <c r="K41" s="19"/>
      <c r="L41" s="20"/>
    </row>
    <row r="42" spans="1:12" x14ac:dyDescent="0.25">
      <c r="A42" s="13">
        <v>40</v>
      </c>
      <c r="B42" s="18">
        <v>1</v>
      </c>
      <c r="C42" s="19"/>
      <c r="D42" s="19"/>
      <c r="E42" s="20"/>
      <c r="F42" s="18"/>
      <c r="G42" s="19"/>
      <c r="H42" s="20">
        <v>1</v>
      </c>
      <c r="I42" s="18"/>
      <c r="J42" s="19">
        <v>1</v>
      </c>
      <c r="K42" s="19"/>
      <c r="L42" s="20"/>
    </row>
    <row r="43" spans="1:12" x14ac:dyDescent="0.25">
      <c r="A43" s="13">
        <v>41</v>
      </c>
      <c r="B43" s="18"/>
      <c r="C43" s="19"/>
      <c r="D43" s="19"/>
      <c r="E43" s="20">
        <v>1</v>
      </c>
      <c r="F43" s="18"/>
      <c r="G43" s="19">
        <v>1</v>
      </c>
      <c r="H43" s="20"/>
      <c r="I43" s="18">
        <v>1</v>
      </c>
      <c r="J43" s="19"/>
      <c r="K43" s="19"/>
      <c r="L43" s="20"/>
    </row>
    <row r="44" spans="1:12" x14ac:dyDescent="0.25">
      <c r="A44" s="13">
        <v>42</v>
      </c>
      <c r="B44" s="18"/>
      <c r="C44" s="19">
        <v>1</v>
      </c>
      <c r="D44" s="19"/>
      <c r="E44" s="20"/>
      <c r="F44" s="18">
        <v>1</v>
      </c>
      <c r="G44" s="19"/>
      <c r="H44" s="20"/>
      <c r="I44" s="18">
        <v>1</v>
      </c>
      <c r="J44" s="19"/>
      <c r="K44" s="19"/>
      <c r="L44" s="20">
        <v>1</v>
      </c>
    </row>
    <row r="45" spans="1:12" x14ac:dyDescent="0.25">
      <c r="A45" s="13">
        <v>43</v>
      </c>
      <c r="B45" s="18"/>
      <c r="C45" s="19"/>
      <c r="D45" s="19">
        <v>1</v>
      </c>
      <c r="E45" s="20"/>
      <c r="F45" s="18"/>
      <c r="G45" s="19"/>
      <c r="H45" s="20">
        <v>1</v>
      </c>
      <c r="I45" s="18">
        <v>1</v>
      </c>
      <c r="J45" s="19"/>
      <c r="K45" s="19"/>
      <c r="L45" s="20">
        <v>1</v>
      </c>
    </row>
    <row r="46" spans="1:12" x14ac:dyDescent="0.25">
      <c r="A46" s="13">
        <v>44</v>
      </c>
      <c r="B46" s="18"/>
      <c r="C46" s="19"/>
      <c r="D46" s="19"/>
      <c r="E46" s="20">
        <v>1</v>
      </c>
      <c r="F46" s="18"/>
      <c r="G46" s="19">
        <v>1</v>
      </c>
      <c r="H46" s="20"/>
      <c r="I46" s="18"/>
      <c r="J46" s="19"/>
      <c r="K46" s="19">
        <v>1</v>
      </c>
      <c r="L46" s="20"/>
    </row>
    <row r="47" spans="1:12" ht="15.75" thickBot="1" x14ac:dyDescent="0.3">
      <c r="A47" s="14">
        <v>45</v>
      </c>
      <c r="B47" s="21"/>
      <c r="C47" s="22"/>
      <c r="D47" s="22">
        <v>1</v>
      </c>
      <c r="E47" s="23"/>
      <c r="F47" s="21"/>
      <c r="G47" s="22"/>
      <c r="H47" s="23">
        <v>1</v>
      </c>
      <c r="I47" s="21"/>
      <c r="J47" s="22"/>
      <c r="K47" s="22">
        <v>1</v>
      </c>
      <c r="L47" s="23"/>
    </row>
    <row r="48" spans="1:12" x14ac:dyDescent="0.25">
      <c r="A48" s="2" t="s">
        <v>31</v>
      </c>
      <c r="B48" s="2">
        <f>SUM(B3:B47)</f>
        <v>8</v>
      </c>
      <c r="C48" s="2">
        <f t="shared" ref="C48:E48" si="0">SUM(C3:C47)</f>
        <v>14</v>
      </c>
      <c r="D48" s="2">
        <f t="shared" si="0"/>
        <v>13</v>
      </c>
      <c r="E48" s="2">
        <f t="shared" si="0"/>
        <v>10</v>
      </c>
      <c r="F48" s="2">
        <f t="shared" ref="F48" si="1">SUM(F3:F47)</f>
        <v>7</v>
      </c>
      <c r="G48" s="2">
        <f t="shared" ref="G48" si="2">SUM(G3:G47)</f>
        <v>13</v>
      </c>
      <c r="H48" s="2">
        <f t="shared" ref="H48" si="3">SUM(H3:H47)</f>
        <v>25</v>
      </c>
      <c r="I48" s="2">
        <f t="shared" ref="I48" si="4">SUM(I3:I47)</f>
        <v>19</v>
      </c>
      <c r="J48" s="2">
        <f t="shared" ref="J48" si="5">SUM(J3:J47)</f>
        <v>14</v>
      </c>
      <c r="K48" s="2">
        <f t="shared" ref="K48:L48" si="6">SUM(K3:K47)</f>
        <v>12</v>
      </c>
      <c r="L48" s="2">
        <f t="shared" si="6"/>
        <v>17</v>
      </c>
    </row>
  </sheetData>
  <mergeCells count="4">
    <mergeCell ref="B1:E1"/>
    <mergeCell ref="F1:H1"/>
    <mergeCell ref="I1:L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17" workbookViewId="0">
      <selection activeCell="B53" sqref="B53"/>
    </sheetView>
  </sheetViews>
  <sheetFormatPr defaultRowHeight="15" x14ac:dyDescent="0.25"/>
  <cols>
    <col min="1" max="1" width="10.5703125" bestFit="1" customWidth="1"/>
    <col min="2" max="3" width="27.140625" bestFit="1" customWidth="1"/>
    <col min="4" max="5" width="15" bestFit="1" customWidth="1"/>
    <col min="6" max="7" width="24.140625" bestFit="1" customWidth="1"/>
    <col min="8" max="8" width="10" bestFit="1" customWidth="1"/>
    <col min="9" max="9" width="14.710937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15</v>
      </c>
      <c r="C1" s="1" t="s">
        <v>16</v>
      </c>
      <c r="D1" s="1" t="s">
        <v>9</v>
      </c>
      <c r="E1" s="1" t="s">
        <v>10</v>
      </c>
      <c r="F1" s="1" t="s">
        <v>11</v>
      </c>
      <c r="G1" s="1" t="s">
        <v>12</v>
      </c>
      <c r="H1" s="3"/>
      <c r="I1" s="3"/>
      <c r="J1" s="3"/>
    </row>
    <row r="2" spans="1:10" x14ac:dyDescent="0.25">
      <c r="A2">
        <v>1</v>
      </c>
      <c r="B2" t="s">
        <v>1</v>
      </c>
      <c r="C2" t="s">
        <v>3</v>
      </c>
      <c r="D2" t="s">
        <v>2</v>
      </c>
      <c r="E2" t="s">
        <v>3</v>
      </c>
      <c r="F2" t="s">
        <v>1</v>
      </c>
      <c r="G2" t="s">
        <v>1</v>
      </c>
    </row>
    <row r="3" spans="1:10" x14ac:dyDescent="0.25">
      <c r="A3">
        <v>2</v>
      </c>
      <c r="B3" t="s">
        <v>1</v>
      </c>
      <c r="C3" t="s">
        <v>3</v>
      </c>
      <c r="D3" t="s">
        <v>2</v>
      </c>
      <c r="E3" t="s">
        <v>3</v>
      </c>
      <c r="F3" t="s">
        <v>1</v>
      </c>
      <c r="G3" t="s">
        <v>3</v>
      </c>
    </row>
    <row r="4" spans="1:10" x14ac:dyDescent="0.25">
      <c r="A4">
        <v>3</v>
      </c>
      <c r="B4" t="s">
        <v>2</v>
      </c>
      <c r="C4" t="s">
        <v>3</v>
      </c>
      <c r="D4" t="s">
        <v>1</v>
      </c>
      <c r="E4" t="s">
        <v>1</v>
      </c>
      <c r="F4" t="s">
        <v>1</v>
      </c>
      <c r="G4" t="s">
        <v>2</v>
      </c>
    </row>
    <row r="5" spans="1:10" x14ac:dyDescent="0.25">
      <c r="A5">
        <v>4</v>
      </c>
      <c r="B5" t="s">
        <v>1</v>
      </c>
      <c r="C5" t="s">
        <v>2</v>
      </c>
      <c r="D5" t="s">
        <v>2</v>
      </c>
      <c r="E5" t="s">
        <v>2</v>
      </c>
      <c r="F5" t="s">
        <v>1</v>
      </c>
      <c r="G5" t="s">
        <v>2</v>
      </c>
    </row>
    <row r="6" spans="1:10" x14ac:dyDescent="0.25">
      <c r="A6">
        <v>5</v>
      </c>
      <c r="B6" t="s">
        <v>1</v>
      </c>
      <c r="C6" t="s">
        <v>2</v>
      </c>
      <c r="D6" t="s">
        <v>1</v>
      </c>
      <c r="E6" t="s">
        <v>2</v>
      </c>
      <c r="F6" t="s">
        <v>1</v>
      </c>
      <c r="G6" t="s">
        <v>1</v>
      </c>
    </row>
    <row r="7" spans="1:10" x14ac:dyDescent="0.25">
      <c r="A7">
        <v>6</v>
      </c>
      <c r="B7" t="s">
        <v>2</v>
      </c>
      <c r="C7" t="s">
        <v>2</v>
      </c>
      <c r="D7" t="s">
        <v>1</v>
      </c>
      <c r="E7" t="s">
        <v>3</v>
      </c>
      <c r="F7" t="s">
        <v>3</v>
      </c>
      <c r="G7" t="s">
        <v>3</v>
      </c>
    </row>
    <row r="8" spans="1:10" x14ac:dyDescent="0.25">
      <c r="A8">
        <v>7</v>
      </c>
      <c r="B8" t="s">
        <v>1</v>
      </c>
      <c r="C8" t="s">
        <v>1</v>
      </c>
      <c r="D8" t="s">
        <v>2</v>
      </c>
      <c r="E8" t="s">
        <v>3</v>
      </c>
      <c r="F8" t="s">
        <v>1</v>
      </c>
      <c r="G8" t="s">
        <v>2</v>
      </c>
    </row>
    <row r="9" spans="1:10" x14ac:dyDescent="0.25">
      <c r="A9">
        <v>8</v>
      </c>
      <c r="B9" t="s">
        <v>1</v>
      </c>
      <c r="C9" t="s">
        <v>3</v>
      </c>
      <c r="D9" t="s">
        <v>1</v>
      </c>
      <c r="E9" t="s">
        <v>2</v>
      </c>
      <c r="F9" t="s">
        <v>1</v>
      </c>
      <c r="G9" t="s">
        <v>2</v>
      </c>
    </row>
    <row r="10" spans="1:10" x14ac:dyDescent="0.25">
      <c r="A10">
        <v>9</v>
      </c>
      <c r="B10" t="s">
        <v>1</v>
      </c>
      <c r="C10" t="s">
        <v>1</v>
      </c>
      <c r="D10" t="s">
        <v>3</v>
      </c>
      <c r="E10" t="s">
        <v>3</v>
      </c>
      <c r="F10" t="s">
        <v>3</v>
      </c>
      <c r="G10" t="s">
        <v>4</v>
      </c>
    </row>
    <row r="11" spans="1:10" x14ac:dyDescent="0.25">
      <c r="A11">
        <v>10</v>
      </c>
      <c r="B11" t="s">
        <v>1</v>
      </c>
      <c r="C11" t="s">
        <v>3</v>
      </c>
      <c r="D11" t="s">
        <v>1</v>
      </c>
      <c r="E11" t="s">
        <v>1</v>
      </c>
      <c r="F11" t="s">
        <v>1</v>
      </c>
      <c r="G11" t="s">
        <v>2</v>
      </c>
    </row>
    <row r="12" spans="1:10" x14ac:dyDescent="0.25">
      <c r="A12">
        <v>11</v>
      </c>
      <c r="B12" t="s">
        <v>1</v>
      </c>
      <c r="C12" t="s">
        <v>2</v>
      </c>
      <c r="D12" t="s">
        <v>2</v>
      </c>
      <c r="E12" t="s">
        <v>3</v>
      </c>
      <c r="F12" t="s">
        <v>1</v>
      </c>
      <c r="G12" t="s">
        <v>2</v>
      </c>
    </row>
    <row r="13" spans="1:10" x14ac:dyDescent="0.25">
      <c r="A13">
        <v>12</v>
      </c>
      <c r="B13" t="s">
        <v>1</v>
      </c>
      <c r="C13" t="s">
        <v>3</v>
      </c>
      <c r="D13" t="s">
        <v>1</v>
      </c>
      <c r="E13" t="s">
        <v>3</v>
      </c>
      <c r="F13" t="s">
        <v>2</v>
      </c>
      <c r="G13" t="s">
        <v>2</v>
      </c>
    </row>
    <row r="14" spans="1:10" x14ac:dyDescent="0.25">
      <c r="A14">
        <v>13</v>
      </c>
      <c r="B14" t="s">
        <v>1</v>
      </c>
      <c r="C14" t="s">
        <v>3</v>
      </c>
      <c r="D14" t="s">
        <v>2</v>
      </c>
      <c r="E14" t="s">
        <v>3</v>
      </c>
      <c r="F14" t="s">
        <v>2</v>
      </c>
      <c r="G14" t="s">
        <v>2</v>
      </c>
    </row>
    <row r="15" spans="1:10" x14ac:dyDescent="0.25">
      <c r="A15">
        <v>14</v>
      </c>
      <c r="B15" t="s">
        <v>1</v>
      </c>
      <c r="C15" t="s">
        <v>1</v>
      </c>
      <c r="D15" t="s">
        <v>2</v>
      </c>
      <c r="E15" t="s">
        <v>3</v>
      </c>
      <c r="F15" t="s">
        <v>1</v>
      </c>
      <c r="G15" t="s">
        <v>1</v>
      </c>
    </row>
    <row r="16" spans="1:10" x14ac:dyDescent="0.25">
      <c r="A16">
        <v>15</v>
      </c>
      <c r="B16" t="s">
        <v>1</v>
      </c>
      <c r="C16" t="s">
        <v>2</v>
      </c>
      <c r="D16" t="s">
        <v>2</v>
      </c>
      <c r="E16" t="s">
        <v>3</v>
      </c>
      <c r="F16" t="s">
        <v>2</v>
      </c>
      <c r="G16" t="s">
        <v>3</v>
      </c>
    </row>
    <row r="17" spans="1:7" x14ac:dyDescent="0.25">
      <c r="A17">
        <v>16</v>
      </c>
      <c r="B17" t="s">
        <v>1</v>
      </c>
      <c r="C17" t="s">
        <v>2</v>
      </c>
      <c r="D17" t="s">
        <v>2</v>
      </c>
      <c r="E17" t="s">
        <v>3</v>
      </c>
      <c r="F17" t="s">
        <v>2</v>
      </c>
      <c r="G17" t="s">
        <v>3</v>
      </c>
    </row>
    <row r="18" spans="1:7" x14ac:dyDescent="0.25">
      <c r="A18">
        <v>17</v>
      </c>
      <c r="B18" t="s">
        <v>1</v>
      </c>
      <c r="C18" t="s">
        <v>2</v>
      </c>
      <c r="D18" t="s">
        <v>1</v>
      </c>
      <c r="E18" t="s">
        <v>1</v>
      </c>
      <c r="F18" t="s">
        <v>1</v>
      </c>
      <c r="G18" t="s">
        <v>2</v>
      </c>
    </row>
    <row r="19" spans="1:7" x14ac:dyDescent="0.25">
      <c r="A19">
        <v>18</v>
      </c>
      <c r="B19" t="s">
        <v>1</v>
      </c>
      <c r="C19" t="s">
        <v>2</v>
      </c>
      <c r="D19" t="s">
        <v>3</v>
      </c>
      <c r="E19" t="s">
        <v>4</v>
      </c>
      <c r="F19" t="s">
        <v>1</v>
      </c>
      <c r="G19" t="s">
        <v>2</v>
      </c>
    </row>
    <row r="20" spans="1:7" x14ac:dyDescent="0.25">
      <c r="A20">
        <v>19</v>
      </c>
      <c r="B20" t="s">
        <v>1</v>
      </c>
      <c r="C20" t="s">
        <v>1</v>
      </c>
      <c r="D20" t="s">
        <v>1</v>
      </c>
      <c r="E20" t="s">
        <v>1</v>
      </c>
      <c r="F20" t="s">
        <v>3</v>
      </c>
      <c r="G20" t="s">
        <v>3</v>
      </c>
    </row>
    <row r="21" spans="1:7" x14ac:dyDescent="0.25">
      <c r="A21">
        <v>20</v>
      </c>
      <c r="B21" t="s">
        <v>2</v>
      </c>
      <c r="C21" t="s">
        <v>3</v>
      </c>
      <c r="D21" t="s">
        <v>2</v>
      </c>
      <c r="E21" t="s">
        <v>2</v>
      </c>
      <c r="F21" t="s">
        <v>2</v>
      </c>
      <c r="G21" t="s">
        <v>3</v>
      </c>
    </row>
    <row r="22" spans="1:7" x14ac:dyDescent="0.25">
      <c r="A22">
        <v>21</v>
      </c>
      <c r="B22" t="s">
        <v>2</v>
      </c>
      <c r="C22" t="s">
        <v>3</v>
      </c>
      <c r="D22" t="s">
        <v>1</v>
      </c>
      <c r="E22" t="s">
        <v>1</v>
      </c>
      <c r="F22" t="s">
        <v>1</v>
      </c>
      <c r="G22" t="s">
        <v>2</v>
      </c>
    </row>
    <row r="23" spans="1:7" x14ac:dyDescent="0.25">
      <c r="A23">
        <v>22</v>
      </c>
      <c r="B23" t="s">
        <v>2</v>
      </c>
      <c r="C23" t="s">
        <v>3</v>
      </c>
      <c r="D23" t="s">
        <v>1</v>
      </c>
      <c r="E23" t="s">
        <v>2</v>
      </c>
      <c r="F23" t="s">
        <v>1</v>
      </c>
      <c r="G23" t="s">
        <v>2</v>
      </c>
    </row>
    <row r="24" spans="1:7" x14ac:dyDescent="0.25">
      <c r="A24">
        <v>23</v>
      </c>
      <c r="B24" t="s">
        <v>1</v>
      </c>
      <c r="C24" t="s">
        <v>2</v>
      </c>
      <c r="D24" t="s">
        <v>3</v>
      </c>
      <c r="E24" t="s">
        <v>3</v>
      </c>
      <c r="F24" t="s">
        <v>1</v>
      </c>
      <c r="G24" t="s">
        <v>2</v>
      </c>
    </row>
    <row r="25" spans="1:7" x14ac:dyDescent="0.25">
      <c r="A25">
        <v>24</v>
      </c>
      <c r="B25" t="s">
        <v>1</v>
      </c>
      <c r="C25" t="s">
        <v>3</v>
      </c>
      <c r="D25" t="s">
        <v>3</v>
      </c>
      <c r="E25" t="s">
        <v>3</v>
      </c>
      <c r="F25" t="s">
        <v>1</v>
      </c>
      <c r="G25" t="s">
        <v>2</v>
      </c>
    </row>
    <row r="26" spans="1:7" x14ac:dyDescent="0.25">
      <c r="A26">
        <v>25</v>
      </c>
      <c r="B26" t="s">
        <v>1</v>
      </c>
      <c r="C26" t="s">
        <v>1</v>
      </c>
      <c r="D26" t="s">
        <v>2</v>
      </c>
      <c r="E26" t="s">
        <v>3</v>
      </c>
      <c r="F26" t="s">
        <v>1</v>
      </c>
      <c r="G26" t="s">
        <v>2</v>
      </c>
    </row>
    <row r="27" spans="1:7" x14ac:dyDescent="0.25">
      <c r="A27">
        <v>26</v>
      </c>
      <c r="B27" t="s">
        <v>3</v>
      </c>
      <c r="C27" t="s">
        <v>4</v>
      </c>
      <c r="D27" t="s">
        <v>1</v>
      </c>
      <c r="E27" t="s">
        <v>2</v>
      </c>
      <c r="F27" t="s">
        <v>3</v>
      </c>
      <c r="G27" t="s">
        <v>3</v>
      </c>
    </row>
    <row r="28" spans="1:7" x14ac:dyDescent="0.25">
      <c r="A28">
        <v>27</v>
      </c>
      <c r="B28" t="s">
        <v>2</v>
      </c>
      <c r="C28" t="s">
        <v>3</v>
      </c>
      <c r="D28" t="s">
        <v>1</v>
      </c>
      <c r="E28" t="s">
        <v>2</v>
      </c>
      <c r="F28" t="s">
        <v>1</v>
      </c>
      <c r="G28" t="s">
        <v>2</v>
      </c>
    </row>
    <row r="29" spans="1:7" x14ac:dyDescent="0.25">
      <c r="A29">
        <v>28</v>
      </c>
      <c r="B29" t="s">
        <v>2</v>
      </c>
      <c r="C29" t="s">
        <v>3</v>
      </c>
      <c r="D29" t="s">
        <v>1</v>
      </c>
      <c r="E29" t="s">
        <v>3</v>
      </c>
      <c r="F29" t="s">
        <v>1</v>
      </c>
      <c r="G29" t="s">
        <v>1</v>
      </c>
    </row>
    <row r="30" spans="1:7" x14ac:dyDescent="0.25">
      <c r="A30">
        <v>29</v>
      </c>
      <c r="B30" t="s">
        <v>1</v>
      </c>
      <c r="C30" t="s">
        <v>2</v>
      </c>
      <c r="D30" t="s">
        <v>2</v>
      </c>
      <c r="E30" t="s">
        <v>2</v>
      </c>
      <c r="F30" t="s">
        <v>1</v>
      </c>
      <c r="G30" t="s">
        <v>2</v>
      </c>
    </row>
    <row r="31" spans="1:7" x14ac:dyDescent="0.25">
      <c r="A31">
        <v>30</v>
      </c>
      <c r="B31" t="s">
        <v>2</v>
      </c>
      <c r="C31" t="s">
        <v>2</v>
      </c>
      <c r="D31" t="s">
        <v>2</v>
      </c>
      <c r="E31" t="s">
        <v>3</v>
      </c>
      <c r="F31" t="s">
        <v>3</v>
      </c>
      <c r="G31" t="s">
        <v>3</v>
      </c>
    </row>
    <row r="32" spans="1:7" x14ac:dyDescent="0.25">
      <c r="A32">
        <v>31</v>
      </c>
      <c r="B32" t="s">
        <v>1</v>
      </c>
      <c r="C32" t="s">
        <v>1</v>
      </c>
      <c r="D32" t="s">
        <v>3</v>
      </c>
      <c r="E32" t="s">
        <v>3</v>
      </c>
      <c r="F32" t="s">
        <v>1</v>
      </c>
      <c r="G32" t="s">
        <v>2</v>
      </c>
    </row>
    <row r="33" spans="1:7" x14ac:dyDescent="0.25">
      <c r="A33">
        <v>32</v>
      </c>
      <c r="B33" t="s">
        <v>2</v>
      </c>
      <c r="C33" t="s">
        <v>3</v>
      </c>
      <c r="D33" t="s">
        <v>1</v>
      </c>
      <c r="E33" t="s">
        <v>2</v>
      </c>
      <c r="F33" t="s">
        <v>1</v>
      </c>
      <c r="G33" t="s">
        <v>3</v>
      </c>
    </row>
    <row r="34" spans="1:7" x14ac:dyDescent="0.25">
      <c r="A34">
        <v>33</v>
      </c>
      <c r="B34" t="s">
        <v>3</v>
      </c>
      <c r="C34" t="s">
        <v>4</v>
      </c>
      <c r="D34" t="s">
        <v>1</v>
      </c>
      <c r="E34" t="s">
        <v>2</v>
      </c>
      <c r="F34" t="s">
        <v>2</v>
      </c>
      <c r="G34" t="s">
        <v>3</v>
      </c>
    </row>
    <row r="35" spans="1:7" x14ac:dyDescent="0.25">
      <c r="A35">
        <v>34</v>
      </c>
      <c r="B35" t="s">
        <v>2</v>
      </c>
      <c r="C35" t="s">
        <v>3</v>
      </c>
      <c r="D35" t="s">
        <v>2</v>
      </c>
      <c r="E35" t="s">
        <v>2</v>
      </c>
      <c r="F35" t="s">
        <v>1</v>
      </c>
      <c r="G35" t="s">
        <v>3</v>
      </c>
    </row>
    <row r="36" spans="1:7" x14ac:dyDescent="0.25">
      <c r="A36">
        <v>35</v>
      </c>
      <c r="B36" t="s">
        <v>2</v>
      </c>
      <c r="C36" t="s">
        <v>2</v>
      </c>
      <c r="D36" t="s">
        <v>1</v>
      </c>
      <c r="E36" t="s">
        <v>2</v>
      </c>
      <c r="F36" t="s">
        <v>1</v>
      </c>
      <c r="G36" t="s">
        <v>1</v>
      </c>
    </row>
    <row r="37" spans="1:7" x14ac:dyDescent="0.25">
      <c r="A37">
        <v>36</v>
      </c>
      <c r="B37" t="s">
        <v>1</v>
      </c>
      <c r="C37" t="s">
        <v>2</v>
      </c>
      <c r="D37" t="s">
        <v>2</v>
      </c>
      <c r="E37" t="s">
        <v>3</v>
      </c>
      <c r="F37" t="s">
        <v>2</v>
      </c>
      <c r="G37" t="s">
        <v>3</v>
      </c>
    </row>
    <row r="38" spans="1:7" x14ac:dyDescent="0.25">
      <c r="A38">
        <v>37</v>
      </c>
      <c r="B38" t="s">
        <v>1</v>
      </c>
      <c r="C38" t="s">
        <v>2</v>
      </c>
      <c r="D38" t="s">
        <v>2</v>
      </c>
      <c r="E38" t="s">
        <v>3</v>
      </c>
      <c r="F38" t="s">
        <v>2</v>
      </c>
      <c r="G38" t="s">
        <v>3</v>
      </c>
    </row>
    <row r="39" spans="1:7" x14ac:dyDescent="0.25">
      <c r="A39">
        <v>38</v>
      </c>
      <c r="B39" t="s">
        <v>1</v>
      </c>
      <c r="C39" t="s">
        <v>2</v>
      </c>
      <c r="D39" t="s">
        <v>1</v>
      </c>
      <c r="E39" t="s">
        <v>2</v>
      </c>
      <c r="F39" t="s">
        <v>3</v>
      </c>
      <c r="G39" t="s">
        <v>3</v>
      </c>
    </row>
    <row r="40" spans="1:7" x14ac:dyDescent="0.25">
      <c r="A40">
        <v>39</v>
      </c>
      <c r="B40" t="s">
        <v>2</v>
      </c>
      <c r="C40" t="s">
        <v>3</v>
      </c>
      <c r="D40" t="s">
        <v>2</v>
      </c>
      <c r="E40" t="s">
        <v>3</v>
      </c>
      <c r="F40" t="s">
        <v>1</v>
      </c>
      <c r="G40" t="s">
        <v>2</v>
      </c>
    </row>
    <row r="41" spans="1:7" x14ac:dyDescent="0.25">
      <c r="A41">
        <v>40</v>
      </c>
      <c r="B41" t="s">
        <v>1</v>
      </c>
      <c r="C41" t="s">
        <v>2</v>
      </c>
      <c r="D41" t="s">
        <v>1</v>
      </c>
      <c r="E41" t="s">
        <v>1</v>
      </c>
      <c r="F41" t="s">
        <v>2</v>
      </c>
      <c r="G41" t="s">
        <v>2</v>
      </c>
    </row>
    <row r="42" spans="1:7" x14ac:dyDescent="0.25">
      <c r="A42">
        <v>41</v>
      </c>
      <c r="B42" t="s">
        <v>3</v>
      </c>
      <c r="C42" t="s">
        <v>4</v>
      </c>
      <c r="D42" t="s">
        <v>3</v>
      </c>
      <c r="E42" t="s">
        <v>3</v>
      </c>
      <c r="F42" t="s">
        <v>1</v>
      </c>
      <c r="G42" t="s">
        <v>3</v>
      </c>
    </row>
    <row r="43" spans="1:7" x14ac:dyDescent="0.25">
      <c r="A43">
        <v>42</v>
      </c>
      <c r="B43" t="s">
        <v>1</v>
      </c>
      <c r="C43" t="s">
        <v>3</v>
      </c>
      <c r="D43" t="s">
        <v>3</v>
      </c>
      <c r="E43" t="s">
        <v>4</v>
      </c>
      <c r="F43" t="s">
        <v>1</v>
      </c>
      <c r="G43" t="s">
        <v>2</v>
      </c>
    </row>
    <row r="44" spans="1:7" x14ac:dyDescent="0.25">
      <c r="A44">
        <v>43</v>
      </c>
      <c r="B44" t="s">
        <v>2</v>
      </c>
      <c r="C44" t="s">
        <v>3</v>
      </c>
      <c r="D44" t="s">
        <v>1</v>
      </c>
      <c r="E44" t="s">
        <v>2</v>
      </c>
      <c r="F44" t="s">
        <v>3</v>
      </c>
      <c r="G44" t="s">
        <v>3</v>
      </c>
    </row>
    <row r="45" spans="1:7" x14ac:dyDescent="0.25">
      <c r="A45">
        <v>44</v>
      </c>
      <c r="B45" t="s">
        <v>1</v>
      </c>
      <c r="C45" t="s">
        <v>1</v>
      </c>
      <c r="D45" t="s">
        <v>2</v>
      </c>
      <c r="E45" t="s">
        <v>3</v>
      </c>
      <c r="F45" t="s">
        <v>1</v>
      </c>
      <c r="G45" t="s">
        <v>2</v>
      </c>
    </row>
    <row r="46" spans="1:7" x14ac:dyDescent="0.25">
      <c r="A46">
        <v>45</v>
      </c>
      <c r="B46" t="s">
        <v>2</v>
      </c>
      <c r="C46" t="s">
        <v>3</v>
      </c>
      <c r="D46" t="s">
        <v>2</v>
      </c>
      <c r="E46" t="s">
        <v>3</v>
      </c>
      <c r="F46" t="s">
        <v>1</v>
      </c>
      <c r="G46" t="s">
        <v>2</v>
      </c>
    </row>
    <row r="47" spans="1:7" s="2" customFormat="1" x14ac:dyDescent="0.25">
      <c r="A47" s="2" t="s">
        <v>32</v>
      </c>
      <c r="B47" s="2">
        <f>65/45</f>
        <v>1.4444444444444444</v>
      </c>
      <c r="C47" s="2">
        <f>108/45</f>
        <v>2.4</v>
      </c>
      <c r="D47" s="2">
        <f>78/45</f>
        <v>1.7333333333333334</v>
      </c>
      <c r="E47" s="2">
        <f>111/45</f>
        <v>2.4666666666666668</v>
      </c>
      <c r="F47" s="2">
        <f>68/45</f>
        <v>1.5111111111111111</v>
      </c>
      <c r="G47" s="2">
        <f>103/45</f>
        <v>2.2888888888888888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selection activeCell="G26" sqref="G26"/>
    </sheetView>
  </sheetViews>
  <sheetFormatPr defaultRowHeight="15" x14ac:dyDescent="0.25"/>
  <cols>
    <col min="2" max="3" width="27.140625" bestFit="1" customWidth="1"/>
    <col min="4" max="4" width="15" bestFit="1" customWidth="1"/>
    <col min="5" max="5" width="16.28515625" customWidth="1"/>
    <col min="6" max="7" width="24.140625" bestFit="1" customWidth="1"/>
  </cols>
  <sheetData>
    <row r="1" spans="1:7" x14ac:dyDescent="0.25">
      <c r="B1" s="1" t="s">
        <v>15</v>
      </c>
      <c r="C1" s="1" t="s">
        <v>16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2" t="s">
        <v>1</v>
      </c>
      <c r="B2">
        <v>28</v>
      </c>
      <c r="C2">
        <v>7</v>
      </c>
      <c r="D2">
        <v>19</v>
      </c>
      <c r="E2">
        <v>6</v>
      </c>
      <c r="F2">
        <v>29</v>
      </c>
      <c r="G2">
        <v>5</v>
      </c>
    </row>
    <row r="3" spans="1:7" x14ac:dyDescent="0.25">
      <c r="A3" s="2" t="s">
        <v>2</v>
      </c>
      <c r="B3">
        <v>14</v>
      </c>
      <c r="C3">
        <v>16</v>
      </c>
      <c r="D3">
        <v>19</v>
      </c>
      <c r="E3">
        <v>14</v>
      </c>
      <c r="F3">
        <v>9</v>
      </c>
      <c r="G3">
        <v>23</v>
      </c>
    </row>
    <row r="4" spans="1:7" x14ac:dyDescent="0.25">
      <c r="A4" s="2" t="s">
        <v>3</v>
      </c>
      <c r="B4">
        <v>3</v>
      </c>
      <c r="C4">
        <v>19</v>
      </c>
      <c r="D4">
        <v>7</v>
      </c>
      <c r="E4">
        <v>23</v>
      </c>
      <c r="F4">
        <v>7</v>
      </c>
      <c r="G4">
        <v>16</v>
      </c>
    </row>
    <row r="5" spans="1:7" x14ac:dyDescent="0.25">
      <c r="A5" s="2" t="s">
        <v>4</v>
      </c>
      <c r="B5">
        <v>0</v>
      </c>
      <c r="C5">
        <v>3</v>
      </c>
      <c r="D5">
        <v>0</v>
      </c>
      <c r="E5">
        <v>2</v>
      </c>
      <c r="F5">
        <v>0</v>
      </c>
      <c r="G5">
        <v>1</v>
      </c>
    </row>
    <row r="6" spans="1:7" x14ac:dyDescent="0.25">
      <c r="A6" s="2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="115" zoomScaleNormal="115" workbookViewId="0">
      <selection activeCell="E2" sqref="E2"/>
    </sheetView>
  </sheetViews>
  <sheetFormatPr defaultRowHeight="15" x14ac:dyDescent="0.25"/>
  <cols>
    <col min="1" max="1" width="18.5703125" bestFit="1" customWidth="1"/>
    <col min="2" max="3" width="12" bestFit="1" customWidth="1"/>
    <col min="4" max="4" width="13.28515625" bestFit="1" customWidth="1"/>
    <col min="5" max="5" width="14.85546875" bestFit="1" customWidth="1"/>
  </cols>
  <sheetData>
    <row r="1" spans="1:5" x14ac:dyDescent="0.25">
      <c r="A1" s="25"/>
      <c r="B1" s="1" t="s">
        <v>13</v>
      </c>
      <c r="C1" s="1" t="s">
        <v>14</v>
      </c>
      <c r="D1" s="1" t="s">
        <v>5</v>
      </c>
      <c r="E1" s="26" t="s">
        <v>33</v>
      </c>
    </row>
    <row r="2" spans="1:5" x14ac:dyDescent="0.25">
      <c r="A2" s="1" t="s">
        <v>6</v>
      </c>
      <c r="B2" s="25">
        <v>1.444444444444444</v>
      </c>
      <c r="C2" s="25">
        <v>2.4</v>
      </c>
      <c r="D2" s="25">
        <f>C2-B2</f>
        <v>0.95555555555555594</v>
      </c>
      <c r="E2" s="27">
        <f>D2/B2</f>
        <v>0.66153846153846196</v>
      </c>
    </row>
    <row r="3" spans="1:5" x14ac:dyDescent="0.25">
      <c r="A3" s="1" t="s">
        <v>7</v>
      </c>
      <c r="B3" s="25">
        <v>1.7333333333333329</v>
      </c>
      <c r="C3" s="25">
        <v>2.4666666666666601</v>
      </c>
      <c r="D3" s="25">
        <f t="shared" ref="D3:D4" si="0">C3-B3</f>
        <v>0.73333333333332718</v>
      </c>
      <c r="E3" s="27">
        <f t="shared" ref="E3:E4" si="1">D3/B3</f>
        <v>0.42307692307691963</v>
      </c>
    </row>
    <row r="4" spans="1:5" x14ac:dyDescent="0.25">
      <c r="A4" s="1" t="s">
        <v>8</v>
      </c>
      <c r="B4" s="25">
        <v>1.5111111111111111</v>
      </c>
      <c r="C4" s="25">
        <v>2.2888888888888999</v>
      </c>
      <c r="D4" s="25">
        <f t="shared" si="0"/>
        <v>0.77777777777778878</v>
      </c>
      <c r="E4" s="27">
        <f t="shared" si="1"/>
        <v>0.51470588235294845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 data</vt:lpstr>
      <vt:lpstr>Participant Scores</vt:lpstr>
      <vt:lpstr>Statistics per level</vt:lpstr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Tanja</dc:creator>
  <cp:lastModifiedBy>Tanja Pavleska</cp:lastModifiedBy>
  <dcterms:created xsi:type="dcterms:W3CDTF">2025-03-28T07:56:54Z</dcterms:created>
  <dcterms:modified xsi:type="dcterms:W3CDTF">2026-02-22T02:57:22Z</dcterms:modified>
</cp:coreProperties>
</file>